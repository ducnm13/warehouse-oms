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RSONALS\Workspace\DEV\Order Management System - OMS\"/>
    </mc:Choice>
  </mc:AlternateContent>
  <xr:revisionPtr revIDLastSave="0" documentId="13_ncr:1_{E1101D90-77D9-4A14-BCDB-4D58FA255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13" i="1"/>
  <c r="A27" i="1"/>
  <c r="A10" i="1"/>
  <c r="A16" i="1"/>
  <c r="A28" i="1"/>
  <c r="A12" i="1"/>
  <c r="A29" i="1"/>
  <c r="A9" i="1"/>
  <c r="A18" i="1"/>
  <c r="A32" i="1"/>
  <c r="A19" i="1"/>
  <c r="A20" i="1"/>
  <c r="A11" i="1"/>
  <c r="A38" i="1"/>
  <c r="A34" i="1"/>
  <c r="A14" i="1"/>
  <c r="A15" i="1"/>
  <c r="A21" i="1"/>
  <c r="A25" i="1"/>
  <c r="A22" i="1"/>
  <c r="A30" i="1"/>
  <c r="A23" i="1"/>
  <c r="A35" i="1"/>
  <c r="A31" i="1"/>
  <c r="A39" i="1"/>
  <c r="A24" i="1"/>
  <c r="A26" i="1"/>
  <c r="A36" i="1"/>
  <c r="A17" i="1"/>
  <c r="A2" i="1"/>
  <c r="A3" i="1"/>
  <c r="A4" i="1"/>
  <c r="A5" i="1"/>
  <c r="A6" i="1"/>
  <c r="A7" i="1"/>
  <c r="A8" i="1"/>
  <c r="A33" i="1"/>
</calcChain>
</file>

<file path=xl/sharedStrings.xml><?xml version="1.0" encoding="utf-8"?>
<sst xmlns="http://schemas.openxmlformats.org/spreadsheetml/2006/main" count="204" uniqueCount="131">
  <si>
    <t>STT</t>
  </si>
  <si>
    <t>Mã Sản phẩm</t>
  </si>
  <si>
    <t>Tên sản phẩm</t>
  </si>
  <si>
    <t>Đơn vị tính</t>
  </si>
  <si>
    <t>Giá Cost</t>
  </si>
  <si>
    <t>Giá bán lẻ</t>
  </si>
  <si>
    <t>Giá đại lý</t>
  </si>
  <si>
    <t>CLC2810</t>
  </si>
  <si>
    <t>CLC2818</t>
  </si>
  <si>
    <t>CLC2820</t>
  </si>
  <si>
    <t>CLC2821</t>
  </si>
  <si>
    <t>CLC2850</t>
  </si>
  <si>
    <t>CLC28PA</t>
  </si>
  <si>
    <t>CLCA12</t>
  </si>
  <si>
    <t>CLCAPA24</t>
  </si>
  <si>
    <t>CLCOGH</t>
  </si>
  <si>
    <t>CLCOGQ01</t>
  </si>
  <si>
    <t>CLES15</t>
  </si>
  <si>
    <t>CLHH01</t>
  </si>
  <si>
    <t>CLHH02</t>
  </si>
  <si>
    <t>CLHH03</t>
  </si>
  <si>
    <t>CLHH04</t>
  </si>
  <si>
    <t>CLHH05</t>
  </si>
  <si>
    <t>CLMT12</t>
  </si>
  <si>
    <t>CLMTPA17</t>
  </si>
  <si>
    <t>CLOM3024</t>
  </si>
  <si>
    <t>CLPAR</t>
  </si>
  <si>
    <t>CLPRO</t>
  </si>
  <si>
    <t>CLQ</t>
  </si>
  <si>
    <t>CLQG12</t>
  </si>
  <si>
    <t>CLQG18</t>
  </si>
  <si>
    <t>CLQG36</t>
  </si>
  <si>
    <t>CLQGPA</t>
  </si>
  <si>
    <t>CLQPA</t>
  </si>
  <si>
    <t>CLSRAP</t>
  </si>
  <si>
    <t>CLSRDR</t>
  </si>
  <si>
    <t>CLSRGA</t>
  </si>
  <si>
    <t>CLSRLC</t>
  </si>
  <si>
    <t>CLSRMA</t>
  </si>
  <si>
    <t>CLSRMT</t>
  </si>
  <si>
    <t>CLSRPE</t>
  </si>
  <si>
    <t>CLSRPN</t>
  </si>
  <si>
    <t>CLSRPO</t>
  </si>
  <si>
    <t>CLSRWM</t>
  </si>
  <si>
    <t>Cà phê COP28 3in1 - Hộp 10 gói</t>
  </si>
  <si>
    <t>Hộp</t>
  </si>
  <si>
    <t>Cà phê COP28 3in1 - Hộp 18 gói</t>
  </si>
  <si>
    <t>Cà phê COP28 3in1 - Túi 20 gói</t>
  </si>
  <si>
    <t>Túi</t>
  </si>
  <si>
    <t>Cà phê COP28 3in1 - Hộp 21 gói</t>
  </si>
  <si>
    <t>Cà phê COP28 3in1 - Túi 50 gói</t>
  </si>
  <si>
    <t>Gói Cà Phê Cop28 17gr</t>
  </si>
  <si>
    <t>Gói</t>
  </si>
  <si>
    <t>Cacao Hòa Tan - Hộp 12 gói</t>
  </si>
  <si>
    <t>Gói Cacao Hòa Tan 24gr</t>
  </si>
  <si>
    <t>Cà phê Bảo Minh Legacy 4in1 Collagen</t>
  </si>
  <si>
    <t>Gói Cà Phê 4in1 Collagen 24gr</t>
  </si>
  <si>
    <t>CF Bảo Minh Legacy Espresso Hòa Tan (hộp 15 gói)</t>
  </si>
  <si>
    <t>Cà Phê Bảo Minh Legacy Hoàn Hảo 1</t>
  </si>
  <si>
    <t>Cà Phê Bảo Minh Legacy Hoàn Hảo 2</t>
  </si>
  <si>
    <t>Cà Phê Bảo Minh Legacy Hoàn Hảo 3</t>
  </si>
  <si>
    <t>Cà Phê Bảo Minh Legacy Hoàn Hảo 4</t>
  </si>
  <si>
    <t>Cà Phê Bảo Minh Legacy Hoàn Hảo 5</t>
  </si>
  <si>
    <t>Matcha Tòa Tan - Hộp 12 gói</t>
  </si>
  <si>
    <t>Gói Matcha Hòa Tan 17gr</t>
  </si>
  <si>
    <t>Cà Phê Rang Xay One More (túi 30 gói x 24gr)</t>
  </si>
  <si>
    <t>Cà phê BML Pure Arabica</t>
  </si>
  <si>
    <t>Cà phê BML Pure Robusta</t>
  </si>
  <si>
    <t>Cà Phê Bảo Minh 3in1 - Cà Phê Quán</t>
  </si>
  <si>
    <t>Cà Phê Quán Gold 3in1 - Hộp 12 Gói</t>
  </si>
  <si>
    <t>Cà Phê Quán Gold 3in1 - Túi 18 Gói</t>
  </si>
  <si>
    <t>Cà Phê Quán Gold 3in1 - Túi 36 Gói</t>
  </si>
  <si>
    <t>Gói Cà Phê Quán Gold 3in1 24gr</t>
  </si>
  <si>
    <t>Gói Cà Phê Bảo Minh 3in1 - Cà Phê Quán 24gr</t>
  </si>
  <si>
    <t>Syrup Chance Táo Xanh</t>
  </si>
  <si>
    <t>Chai</t>
  </si>
  <si>
    <t>Syrup Chance Sầu Riêng</t>
  </si>
  <si>
    <t>Syrup Chance Ổi Hồng</t>
  </si>
  <si>
    <t>Syrup Chance Vải</t>
  </si>
  <si>
    <t>Syrup Chance Xoài</t>
  </si>
  <si>
    <t>Syrup Chance Matcha</t>
  </si>
  <si>
    <t>Syrup Chance Đào</t>
  </si>
  <si>
    <t>Syrup Chance Dứa</t>
  </si>
  <si>
    <t>Syrup Chance Lựu Đỏ</t>
  </si>
  <si>
    <t>Syrup Chance Dưa Lưới</t>
  </si>
  <si>
    <t>CLSRHZ</t>
  </si>
  <si>
    <t>Syrup Chance Hazenut</t>
  </si>
  <si>
    <t>BMS1</t>
  </si>
  <si>
    <t>BMS2</t>
  </si>
  <si>
    <t>BMS3</t>
  </si>
  <si>
    <t>BMS4</t>
  </si>
  <si>
    <t>BMS5</t>
  </si>
  <si>
    <t>BMS6</t>
  </si>
  <si>
    <t>BMS7</t>
  </si>
  <si>
    <t>BMS8</t>
  </si>
  <si>
    <t>BMB</t>
  </si>
  <si>
    <t>Cà phê Bảo Minh số 1 - 500g</t>
  </si>
  <si>
    <t>Cà phê Bảo Minh số 2 - 500g</t>
  </si>
  <si>
    <t>Cà phê Bảo Minh số 3 - 500g</t>
  </si>
  <si>
    <t>Cà phê Bảo Minh số 4 - 500g</t>
  </si>
  <si>
    <t>Cà phê Bảo Minh số 5 - 500g</t>
  </si>
  <si>
    <t>Cà phê Bảo Minh số 6 - 500g</t>
  </si>
  <si>
    <t>Cà phê Bảo Minh số 7 - 500g</t>
  </si>
  <si>
    <t>Cà phê Bảo Minh số 8 - 500g</t>
  </si>
  <si>
    <t>Cà phê Bảo Minh hỗn hợp Chữ B</t>
  </si>
  <si>
    <t>Cà phê Bảo Minh truyền thống</t>
  </si>
  <si>
    <t>Cà phê Bảo Minh di sản</t>
  </si>
  <si>
    <t>BMTT</t>
  </si>
  <si>
    <t>BMDS</t>
  </si>
  <si>
    <t>Quy cách Chai/Hũ/Gói</t>
  </si>
  <si>
    <t>1 chai x 750ml</t>
  </si>
  <si>
    <t>10 gói x 17 gr</t>
  </si>
  <si>
    <t>18 gói x 17 gr</t>
  </si>
  <si>
    <t>20 gói x 17 gr</t>
  </si>
  <si>
    <t>21 gói x 17 gr</t>
  </si>
  <si>
    <t>50 gói x 17 gr</t>
  </si>
  <si>
    <t>1 gói x 17 gr</t>
  </si>
  <si>
    <t>12 gói x 24 gr</t>
  </si>
  <si>
    <t>24 gói x 17 gr</t>
  </si>
  <si>
    <t>15 gói x 2.5 gr</t>
  </si>
  <si>
    <t>1 gói x 340 gr</t>
  </si>
  <si>
    <t>12 gói x 17 gr</t>
  </si>
  <si>
    <t>30 gói x 24gr</t>
  </si>
  <si>
    <t>1 gói x 250 gr</t>
  </si>
  <si>
    <t>10 gói x 24 gr</t>
  </si>
  <si>
    <t>12 Gói x 24 gr</t>
  </si>
  <si>
    <t>18 Gói x 24 gr</t>
  </si>
  <si>
    <t>36 Gói x 24 gr</t>
  </si>
  <si>
    <t>1 gói x 24 gr</t>
  </si>
  <si>
    <t>1 gói x 500 gr</t>
  </si>
  <si>
    <t>1 hộp x 500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</si>
</sst>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3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3" fontId="2" fillId="0" borderId="2" xfId="1" applyNumberFormat="1" applyFont="1" applyBorder="1" applyAlignment="1">
      <alignment horizontal="right" vertical="center"/>
    </xf>
    <xf numFmtId="3" fontId="3" fillId="0" borderId="2" xfId="1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left" vertical="center" wrapText="1"/>
    </xf>
    <xf numFmtId="3" fontId="2" fillId="0" borderId="9" xfId="1" applyNumberFormat="1" applyFont="1" applyFill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J8" sqref="J8"/>
    </sheetView>
  </sheetViews>
  <sheetFormatPr defaultRowHeight="14.4" x14ac:dyDescent="0.3"/>
  <cols>
    <col min="2" max="2" width="17.109375" customWidth="1"/>
    <col min="3" max="3" width="33.109375" customWidth="1"/>
    <col min="4" max="4" width="15.109375" customWidth="1"/>
    <col min="5" max="5" width="28.21875" customWidth="1"/>
    <col min="7" max="7" width="11.109375" bestFit="1" customWidth="1"/>
    <col min="8" max="8" width="13.88671875" customWidth="1"/>
  </cols>
  <sheetData>
    <row r="1" spans="1:8" ht="15.6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109</v>
      </c>
      <c r="F1" s="18" t="s">
        <v>4</v>
      </c>
      <c r="G1" s="18" t="s">
        <v>5</v>
      </c>
      <c r="H1" s="19" t="s">
        <v>6</v>
      </c>
    </row>
    <row r="2" spans="1:8" ht="15.6" x14ac:dyDescent="0.3">
      <c r="A2" s="1">
        <f ca="1">_xlfn.AGGREGATE(4,7,A1:A$8)+1</f>
        <v>1</v>
      </c>
      <c r="B2" s="2" t="s">
        <v>7</v>
      </c>
      <c r="C2" s="2" t="s">
        <v>44</v>
      </c>
      <c r="D2" s="2" t="s">
        <v>45</v>
      </c>
      <c r="E2" s="2" t="s">
        <v>111</v>
      </c>
      <c r="F2" s="3">
        <v>20860</v>
      </c>
      <c r="G2" s="3"/>
      <c r="H2" s="15"/>
    </row>
    <row r="3" spans="1:8" ht="15.6" x14ac:dyDescent="0.3">
      <c r="A3" s="5">
        <f ca="1">_xlfn.AGGREGATE(4,7,A2:A$8)+1</f>
        <v>2</v>
      </c>
      <c r="B3" s="2" t="s">
        <v>8</v>
      </c>
      <c r="C3" s="2" t="s">
        <v>46</v>
      </c>
      <c r="D3" s="2" t="s">
        <v>45</v>
      </c>
      <c r="E3" s="2" t="s">
        <v>112</v>
      </c>
      <c r="F3" s="3">
        <v>36164</v>
      </c>
      <c r="G3" s="3">
        <v>65000</v>
      </c>
      <c r="H3" s="15"/>
    </row>
    <row r="4" spans="1:8" ht="15.6" x14ac:dyDescent="0.3">
      <c r="A4" s="5">
        <f ca="1">_xlfn.AGGREGATE(4,7,A3:A$8)+1</f>
        <v>3</v>
      </c>
      <c r="B4" s="2" t="s">
        <v>9</v>
      </c>
      <c r="C4" s="2" t="s">
        <v>47</v>
      </c>
      <c r="D4" s="2" t="s">
        <v>48</v>
      </c>
      <c r="E4" s="2" t="s">
        <v>113</v>
      </c>
      <c r="F4" s="3">
        <v>39493</v>
      </c>
      <c r="G4" s="3">
        <v>70000</v>
      </c>
      <c r="H4" s="15"/>
    </row>
    <row r="5" spans="1:8" ht="15.6" x14ac:dyDescent="0.3">
      <c r="A5" s="5">
        <f ca="1">_xlfn.AGGREGATE(4,7,A4:A$8)+1</f>
        <v>4</v>
      </c>
      <c r="B5" s="2" t="s">
        <v>10</v>
      </c>
      <c r="C5" s="2" t="s">
        <v>49</v>
      </c>
      <c r="D5" s="2" t="s">
        <v>45</v>
      </c>
      <c r="E5" s="2" t="s">
        <v>114</v>
      </c>
      <c r="F5" s="3">
        <v>42028</v>
      </c>
      <c r="G5" s="3">
        <v>75000</v>
      </c>
      <c r="H5" s="15"/>
    </row>
    <row r="6" spans="1:8" ht="15.6" x14ac:dyDescent="0.3">
      <c r="A6" s="5">
        <f ca="1">_xlfn.AGGREGATE(4,7,A5:A$8)+1</f>
        <v>5</v>
      </c>
      <c r="B6" s="2" t="s">
        <v>11</v>
      </c>
      <c r="C6" s="2" t="s">
        <v>50</v>
      </c>
      <c r="D6" s="2" t="s">
        <v>48</v>
      </c>
      <c r="E6" s="2" t="s">
        <v>115</v>
      </c>
      <c r="F6" s="3">
        <v>95783</v>
      </c>
      <c r="G6" s="3">
        <v>170000</v>
      </c>
      <c r="H6" s="15"/>
    </row>
    <row r="7" spans="1:8" ht="15.6" x14ac:dyDescent="0.3">
      <c r="A7" s="5">
        <f ca="1">_xlfn.AGGREGATE(4,7,A6:A$8)+1</f>
        <v>6</v>
      </c>
      <c r="B7" s="2" t="s">
        <v>12</v>
      </c>
      <c r="C7" s="2" t="s">
        <v>51</v>
      </c>
      <c r="D7" s="2" t="s">
        <v>52</v>
      </c>
      <c r="E7" s="2" t="s">
        <v>116</v>
      </c>
      <c r="F7" s="3">
        <v>1850</v>
      </c>
      <c r="G7" s="3"/>
      <c r="H7" s="15"/>
    </row>
    <row r="8" spans="1:8" ht="15.6" x14ac:dyDescent="0.3">
      <c r="A8" s="5">
        <f ca="1">_xlfn.AGGREGATE(4,7,A7:A$8)+1</f>
        <v>7</v>
      </c>
      <c r="B8" s="2" t="s">
        <v>13</v>
      </c>
      <c r="C8" s="2" t="s">
        <v>53</v>
      </c>
      <c r="D8" s="2" t="s">
        <v>45</v>
      </c>
      <c r="E8" s="2" t="s">
        <v>117</v>
      </c>
      <c r="F8" s="3">
        <v>36877</v>
      </c>
      <c r="G8" s="3">
        <v>90000</v>
      </c>
      <c r="H8" s="15"/>
    </row>
    <row r="9" spans="1:8" ht="15.6" x14ac:dyDescent="0.3">
      <c r="A9" s="5">
        <f ca="1">_xlfn.AGGREGATE(4,7,A$8:A8)+1</f>
        <v>8</v>
      </c>
      <c r="B9" s="2" t="s">
        <v>14</v>
      </c>
      <c r="C9" s="2" t="s">
        <v>54</v>
      </c>
      <c r="D9" s="2" t="s">
        <v>52</v>
      </c>
      <c r="E9" s="2" t="s">
        <v>116</v>
      </c>
      <c r="F9" s="3">
        <v>2857</v>
      </c>
      <c r="G9" s="3"/>
      <c r="H9" s="15"/>
    </row>
    <row r="10" spans="1:8" ht="31.2" x14ac:dyDescent="0.3">
      <c r="A10" s="5">
        <f ca="1">_xlfn.AGGREGATE(4,7,A$8:A9)+1</f>
        <v>9</v>
      </c>
      <c r="B10" s="2" t="s">
        <v>15</v>
      </c>
      <c r="C10" s="2" t="s">
        <v>55</v>
      </c>
      <c r="D10" s="2" t="s">
        <v>45</v>
      </c>
      <c r="E10" s="2" t="s">
        <v>118</v>
      </c>
      <c r="F10" s="3">
        <v>48955</v>
      </c>
      <c r="G10" s="3"/>
      <c r="H10" s="15"/>
    </row>
    <row r="11" spans="1:8" ht="15.6" x14ac:dyDescent="0.3">
      <c r="A11" s="6">
        <f ca="1">_xlfn.AGGREGATE(4,7,A$8:A10)+1</f>
        <v>10</v>
      </c>
      <c r="B11" s="2" t="s">
        <v>16</v>
      </c>
      <c r="C11" s="2" t="s">
        <v>56</v>
      </c>
      <c r="D11" s="2" t="s">
        <v>52</v>
      </c>
      <c r="E11" s="2" t="s">
        <v>116</v>
      </c>
      <c r="F11" s="4">
        <v>3788</v>
      </c>
      <c r="G11" s="4"/>
      <c r="H11" s="15"/>
    </row>
    <row r="12" spans="1:8" ht="31.2" x14ac:dyDescent="0.3">
      <c r="A12" s="5">
        <f ca="1">_xlfn.AGGREGATE(4,7,A$8:A11)+1</f>
        <v>10</v>
      </c>
      <c r="B12" s="2" t="s">
        <v>17</v>
      </c>
      <c r="C12" s="2" t="s">
        <v>57</v>
      </c>
      <c r="D12" s="2" t="s">
        <v>45</v>
      </c>
      <c r="E12" s="2" t="s">
        <v>119</v>
      </c>
      <c r="F12" s="3">
        <v>20000</v>
      </c>
      <c r="G12" s="3">
        <v>52000</v>
      </c>
      <c r="H12" s="15"/>
    </row>
    <row r="13" spans="1:8" ht="31.2" x14ac:dyDescent="0.3">
      <c r="A13" s="5">
        <f ca="1">_xlfn.AGGREGATE(4,7,A$8:A12)+1</f>
        <v>11</v>
      </c>
      <c r="B13" s="2" t="s">
        <v>18</v>
      </c>
      <c r="C13" s="2" t="s">
        <v>58</v>
      </c>
      <c r="D13" s="2" t="s">
        <v>52</v>
      </c>
      <c r="E13" s="2" t="s">
        <v>120</v>
      </c>
      <c r="F13" s="3">
        <v>75000</v>
      </c>
      <c r="G13" s="3">
        <v>90000</v>
      </c>
      <c r="H13" s="15"/>
    </row>
    <row r="14" spans="1:8" ht="31.2" x14ac:dyDescent="0.3">
      <c r="A14" s="5">
        <f ca="1">_xlfn.AGGREGATE(4,7,A$8:A13)+1</f>
        <v>12</v>
      </c>
      <c r="B14" s="2" t="s">
        <v>19</v>
      </c>
      <c r="C14" s="2" t="s">
        <v>59</v>
      </c>
      <c r="D14" s="2" t="s">
        <v>52</v>
      </c>
      <c r="E14" s="2" t="s">
        <v>120</v>
      </c>
      <c r="F14" s="3">
        <v>87500</v>
      </c>
      <c r="G14" s="3">
        <v>105000</v>
      </c>
      <c r="H14" s="15"/>
    </row>
    <row r="15" spans="1:8" ht="31.2" x14ac:dyDescent="0.3">
      <c r="A15" s="5">
        <f ca="1">_xlfn.AGGREGATE(4,7,A$8:A14)+1</f>
        <v>13</v>
      </c>
      <c r="B15" s="2" t="s">
        <v>20</v>
      </c>
      <c r="C15" s="2" t="s">
        <v>60</v>
      </c>
      <c r="D15" s="2" t="s">
        <v>52</v>
      </c>
      <c r="E15" s="2" t="s">
        <v>120</v>
      </c>
      <c r="F15" s="3">
        <v>106481.48</v>
      </c>
      <c r="G15" s="3">
        <v>128000</v>
      </c>
      <c r="H15" s="15"/>
    </row>
    <row r="16" spans="1:8" ht="31.2" x14ac:dyDescent="0.3">
      <c r="A16" s="5">
        <f ca="1">_xlfn.AGGREGATE(4,7,A$8:A15)+1</f>
        <v>14</v>
      </c>
      <c r="B16" s="2" t="s">
        <v>21</v>
      </c>
      <c r="C16" s="2" t="s">
        <v>61</v>
      </c>
      <c r="D16" s="2" t="s">
        <v>52</v>
      </c>
      <c r="E16" s="2" t="s">
        <v>120</v>
      </c>
      <c r="F16" s="3">
        <v>127314.81</v>
      </c>
      <c r="G16" s="3">
        <v>153000</v>
      </c>
      <c r="H16" s="15"/>
    </row>
    <row r="17" spans="1:8" ht="31.2" x14ac:dyDescent="0.3">
      <c r="A17" s="5">
        <f ca="1">_xlfn.AGGREGATE(4,7,A$8:A16)+1</f>
        <v>15</v>
      </c>
      <c r="B17" s="2" t="s">
        <v>22</v>
      </c>
      <c r="C17" s="2" t="s">
        <v>62</v>
      </c>
      <c r="D17" s="2" t="s">
        <v>52</v>
      </c>
      <c r="E17" s="2" t="s">
        <v>120</v>
      </c>
      <c r="F17" s="3">
        <v>154629.63</v>
      </c>
      <c r="G17" s="3">
        <v>186000</v>
      </c>
      <c r="H17" s="15"/>
    </row>
    <row r="18" spans="1:8" ht="15.6" x14ac:dyDescent="0.3">
      <c r="A18" s="5">
        <f ca="1">_xlfn.AGGREGATE(4,7,A$8:A17)+1</f>
        <v>16</v>
      </c>
      <c r="B18" s="2" t="s">
        <v>23</v>
      </c>
      <c r="C18" s="2" t="s">
        <v>63</v>
      </c>
      <c r="D18" s="2" t="s">
        <v>45</v>
      </c>
      <c r="E18" s="2" t="s">
        <v>121</v>
      </c>
      <c r="F18" s="3">
        <v>23205</v>
      </c>
      <c r="G18" s="3">
        <v>65000</v>
      </c>
      <c r="H18" s="15"/>
    </row>
    <row r="19" spans="1:8" ht="15.6" x14ac:dyDescent="0.3">
      <c r="A19" s="5">
        <f ca="1">_xlfn.AGGREGATE(4,7,A$8:A18)+1</f>
        <v>17</v>
      </c>
      <c r="B19" s="2" t="s">
        <v>24</v>
      </c>
      <c r="C19" s="2" t="s">
        <v>64</v>
      </c>
      <c r="D19" s="2" t="s">
        <v>52</v>
      </c>
      <c r="E19" s="2" t="s">
        <v>116</v>
      </c>
      <c r="F19" s="3">
        <v>1747</v>
      </c>
      <c r="G19" s="3"/>
      <c r="H19" s="15"/>
    </row>
    <row r="20" spans="1:8" ht="31.2" x14ac:dyDescent="0.3">
      <c r="A20" s="5">
        <f ca="1">_xlfn.AGGREGATE(4,7,A$8:A19)+1</f>
        <v>18</v>
      </c>
      <c r="B20" s="2" t="s">
        <v>25</v>
      </c>
      <c r="C20" s="2" t="s">
        <v>65</v>
      </c>
      <c r="D20" s="2" t="s">
        <v>48</v>
      </c>
      <c r="E20" s="2" t="s">
        <v>122</v>
      </c>
      <c r="F20" s="3">
        <v>244800</v>
      </c>
      <c r="G20" s="3">
        <v>306000</v>
      </c>
      <c r="H20" s="15"/>
    </row>
    <row r="21" spans="1:8" ht="15.6" x14ac:dyDescent="0.3">
      <c r="A21" s="5">
        <f ca="1">_xlfn.AGGREGATE(4,7,A$8:A20)+1</f>
        <v>19</v>
      </c>
      <c r="B21" s="2" t="s">
        <v>26</v>
      </c>
      <c r="C21" s="2" t="s">
        <v>66</v>
      </c>
      <c r="D21" s="2" t="s">
        <v>52</v>
      </c>
      <c r="E21" s="2" t="s">
        <v>123</v>
      </c>
      <c r="F21" s="3">
        <v>300000</v>
      </c>
      <c r="G21" s="3">
        <v>360000</v>
      </c>
      <c r="H21" s="15"/>
    </row>
    <row r="22" spans="1:8" ht="15.6" x14ac:dyDescent="0.3">
      <c r="A22" s="5">
        <f ca="1">_xlfn.AGGREGATE(4,7,A$8:A21)+1</f>
        <v>20</v>
      </c>
      <c r="B22" s="2" t="s">
        <v>27</v>
      </c>
      <c r="C22" s="2" t="s">
        <v>67</v>
      </c>
      <c r="D22" s="2" t="s">
        <v>52</v>
      </c>
      <c r="E22" s="2" t="s">
        <v>123</v>
      </c>
      <c r="F22" s="3">
        <v>200000</v>
      </c>
      <c r="G22" s="3">
        <v>240000</v>
      </c>
      <c r="H22" s="15"/>
    </row>
    <row r="23" spans="1:8" ht="31.2" x14ac:dyDescent="0.3">
      <c r="A23" s="5">
        <f ca="1">_xlfn.AGGREGATE(4,7,A$8:A22)+1</f>
        <v>21</v>
      </c>
      <c r="B23" s="2" t="s">
        <v>28</v>
      </c>
      <c r="C23" s="2" t="s">
        <v>68</v>
      </c>
      <c r="D23" s="2" t="s">
        <v>45</v>
      </c>
      <c r="E23" s="2" t="s">
        <v>124</v>
      </c>
      <c r="F23" s="3">
        <v>28326</v>
      </c>
      <c r="G23" s="3">
        <v>42000</v>
      </c>
      <c r="H23" s="15"/>
    </row>
    <row r="24" spans="1:8" ht="31.2" x14ac:dyDescent="0.3">
      <c r="A24" s="5">
        <f ca="1">_xlfn.AGGREGATE(4,7,A$8:A23)+1</f>
        <v>22</v>
      </c>
      <c r="B24" s="2" t="s">
        <v>29</v>
      </c>
      <c r="C24" s="2" t="s">
        <v>69</v>
      </c>
      <c r="D24" s="2" t="s">
        <v>45</v>
      </c>
      <c r="E24" s="2" t="s">
        <v>125</v>
      </c>
      <c r="F24" s="3">
        <v>42403</v>
      </c>
      <c r="G24" s="3">
        <v>65000</v>
      </c>
      <c r="H24" s="15"/>
    </row>
    <row r="25" spans="1:8" ht="31.2" x14ac:dyDescent="0.3">
      <c r="A25" s="5">
        <f ca="1">_xlfn.AGGREGATE(4,7,A$8:A24)+1</f>
        <v>23</v>
      </c>
      <c r="B25" s="2" t="s">
        <v>30</v>
      </c>
      <c r="C25" s="2" t="s">
        <v>70</v>
      </c>
      <c r="D25" s="2" t="s">
        <v>48</v>
      </c>
      <c r="E25" s="2" t="s">
        <v>126</v>
      </c>
      <c r="F25" s="3">
        <v>63305</v>
      </c>
      <c r="G25" s="3">
        <v>96000</v>
      </c>
      <c r="H25" s="15"/>
    </row>
    <row r="26" spans="1:8" ht="31.2" x14ac:dyDescent="0.3">
      <c r="A26" s="5">
        <f ca="1">_xlfn.AGGREGATE(4,7,A$8:A25)+1</f>
        <v>24</v>
      </c>
      <c r="B26" s="2" t="s">
        <v>31</v>
      </c>
      <c r="C26" s="2" t="s">
        <v>71</v>
      </c>
      <c r="D26" s="2" t="s">
        <v>48</v>
      </c>
      <c r="E26" s="2" t="s">
        <v>127</v>
      </c>
      <c r="F26" s="3">
        <v>119809</v>
      </c>
      <c r="G26" s="3">
        <v>191000</v>
      </c>
      <c r="H26" s="15"/>
    </row>
    <row r="27" spans="1:8" ht="15.6" x14ac:dyDescent="0.3">
      <c r="A27" s="5">
        <f ca="1">_xlfn.AGGREGATE(4,7,A$8:A26)+1</f>
        <v>25</v>
      </c>
      <c r="B27" s="2" t="s">
        <v>32</v>
      </c>
      <c r="C27" s="2" t="s">
        <v>72</v>
      </c>
      <c r="D27" s="2" t="s">
        <v>52</v>
      </c>
      <c r="E27" s="2" t="s">
        <v>128</v>
      </c>
      <c r="F27" s="3">
        <v>3242</v>
      </c>
      <c r="G27" s="3"/>
      <c r="H27" s="15"/>
    </row>
    <row r="28" spans="1:8" ht="31.2" x14ac:dyDescent="0.3">
      <c r="A28" s="5">
        <f ca="1">_xlfn.AGGREGATE(4,7,A$8:A27)+1</f>
        <v>26</v>
      </c>
      <c r="B28" s="2" t="s">
        <v>33</v>
      </c>
      <c r="C28" s="2" t="s">
        <v>73</v>
      </c>
      <c r="D28" s="2" t="s">
        <v>52</v>
      </c>
      <c r="E28" s="2" t="s">
        <v>128</v>
      </c>
      <c r="F28" s="3">
        <v>2832</v>
      </c>
      <c r="G28" s="3"/>
      <c r="H28" s="15"/>
    </row>
    <row r="29" spans="1:8" ht="15.6" x14ac:dyDescent="0.3">
      <c r="A29" s="5">
        <f ca="1">_xlfn.AGGREGATE(4,7,A$8:A28)+1</f>
        <v>27</v>
      </c>
      <c r="B29" s="2" t="s">
        <v>34</v>
      </c>
      <c r="C29" s="2" t="s">
        <v>74</v>
      </c>
      <c r="D29" s="2" t="s">
        <v>75</v>
      </c>
      <c r="E29" s="2" t="s">
        <v>110</v>
      </c>
      <c r="F29" s="3">
        <v>51446</v>
      </c>
      <c r="G29" s="3">
        <v>143000</v>
      </c>
      <c r="H29" s="15"/>
    </row>
    <row r="30" spans="1:8" ht="15.6" x14ac:dyDescent="0.3">
      <c r="A30" s="5">
        <f ca="1">_xlfn.AGGREGATE(4,7,A$8:A29)+1</f>
        <v>28</v>
      </c>
      <c r="B30" s="2" t="s">
        <v>35</v>
      </c>
      <c r="C30" s="2" t="s">
        <v>76</v>
      </c>
      <c r="D30" s="2" t="s">
        <v>75</v>
      </c>
      <c r="E30" s="2" t="s">
        <v>110</v>
      </c>
      <c r="F30" s="3">
        <v>43400</v>
      </c>
      <c r="G30" s="3">
        <v>150000</v>
      </c>
      <c r="H30" s="15"/>
    </row>
    <row r="31" spans="1:8" ht="15.6" x14ac:dyDescent="0.3">
      <c r="A31" s="5">
        <f ca="1">_xlfn.AGGREGATE(4,7,A$8:A30)+1</f>
        <v>29</v>
      </c>
      <c r="B31" s="2" t="s">
        <v>36</v>
      </c>
      <c r="C31" s="2" t="s">
        <v>77</v>
      </c>
      <c r="D31" s="2" t="s">
        <v>75</v>
      </c>
      <c r="E31" s="2" t="s">
        <v>110</v>
      </c>
      <c r="F31" s="3">
        <v>56925</v>
      </c>
      <c r="G31" s="3">
        <v>150000</v>
      </c>
      <c r="H31" s="15"/>
    </row>
    <row r="32" spans="1:8" ht="15.6" x14ac:dyDescent="0.3">
      <c r="A32" s="5">
        <f ca="1">_xlfn.AGGREGATE(4,7,A$8:A31)+1</f>
        <v>30</v>
      </c>
      <c r="B32" s="2" t="s">
        <v>85</v>
      </c>
      <c r="C32" s="2" t="s">
        <v>86</v>
      </c>
      <c r="D32" s="2" t="s">
        <v>75</v>
      </c>
      <c r="E32" s="2" t="s">
        <v>110</v>
      </c>
      <c r="F32" s="3">
        <v>51697</v>
      </c>
      <c r="G32" s="3">
        <v>150000</v>
      </c>
      <c r="H32" s="15"/>
    </row>
    <row r="33" spans="1:8" ht="15.6" x14ac:dyDescent="0.3">
      <c r="A33" s="5">
        <f ca="1">_xlfn.AGGREGATE(4,7,A$8:A32)+1</f>
        <v>31</v>
      </c>
      <c r="B33" s="2" t="s">
        <v>37</v>
      </c>
      <c r="C33" s="2" t="s">
        <v>78</v>
      </c>
      <c r="D33" s="2" t="s">
        <v>75</v>
      </c>
      <c r="E33" s="2" t="s">
        <v>110</v>
      </c>
      <c r="F33" s="3">
        <v>76622</v>
      </c>
      <c r="G33" s="3">
        <v>143000</v>
      </c>
      <c r="H33" s="15"/>
    </row>
    <row r="34" spans="1:8" ht="15.6" x14ac:dyDescent="0.3">
      <c r="A34" s="5">
        <f ca="1">_xlfn.AGGREGATE(4,7,A$8:A33)+1</f>
        <v>32</v>
      </c>
      <c r="B34" s="2" t="s">
        <v>38</v>
      </c>
      <c r="C34" s="2" t="s">
        <v>79</v>
      </c>
      <c r="D34" s="2" t="s">
        <v>75</v>
      </c>
      <c r="E34" s="2" t="s">
        <v>110</v>
      </c>
      <c r="F34" s="3">
        <v>71733</v>
      </c>
      <c r="G34" s="3">
        <v>142000</v>
      </c>
      <c r="H34" s="15"/>
    </row>
    <row r="35" spans="1:8" ht="15.6" x14ac:dyDescent="0.3">
      <c r="A35" s="5">
        <f ca="1">_xlfn.AGGREGATE(4,7,A$8:A34)+1</f>
        <v>33</v>
      </c>
      <c r="B35" s="2" t="s">
        <v>39</v>
      </c>
      <c r="C35" s="2" t="s">
        <v>80</v>
      </c>
      <c r="D35" s="2" t="s">
        <v>75</v>
      </c>
      <c r="E35" s="2" t="s">
        <v>110</v>
      </c>
      <c r="F35" s="3">
        <v>108796</v>
      </c>
      <c r="G35" s="3">
        <v>167000</v>
      </c>
      <c r="H35" s="15"/>
    </row>
    <row r="36" spans="1:8" ht="15.6" x14ac:dyDescent="0.3">
      <c r="A36" s="5">
        <f ca="1">_xlfn.AGGREGATE(4,7,A$8:A35)+1</f>
        <v>34</v>
      </c>
      <c r="B36" s="2" t="s">
        <v>40</v>
      </c>
      <c r="C36" s="2" t="s">
        <v>81</v>
      </c>
      <c r="D36" s="2" t="s">
        <v>75</v>
      </c>
      <c r="E36" s="2" t="s">
        <v>110</v>
      </c>
      <c r="F36" s="3">
        <v>76549</v>
      </c>
      <c r="G36" s="3">
        <v>143000</v>
      </c>
      <c r="H36" s="15"/>
    </row>
    <row r="37" spans="1:8" ht="15.6" x14ac:dyDescent="0.3">
      <c r="A37" s="5">
        <f ca="1">_xlfn.AGGREGATE(4,7,A$8:A36)+1</f>
        <v>35</v>
      </c>
      <c r="B37" s="2" t="s">
        <v>41</v>
      </c>
      <c r="C37" s="2" t="s">
        <v>82</v>
      </c>
      <c r="D37" s="2" t="s">
        <v>75</v>
      </c>
      <c r="E37" s="2" t="s">
        <v>110</v>
      </c>
      <c r="F37" s="3">
        <v>55541</v>
      </c>
      <c r="G37" s="3">
        <v>150000</v>
      </c>
      <c r="H37" s="15"/>
    </row>
    <row r="38" spans="1:8" ht="15.6" x14ac:dyDescent="0.3">
      <c r="A38" s="5">
        <f ca="1">_xlfn.AGGREGATE(4,7,A$8:A37)+1</f>
        <v>36</v>
      </c>
      <c r="B38" s="2" t="s">
        <v>42</v>
      </c>
      <c r="C38" s="2" t="s">
        <v>83</v>
      </c>
      <c r="D38" s="2" t="s">
        <v>75</v>
      </c>
      <c r="E38" s="2" t="s">
        <v>110</v>
      </c>
      <c r="F38" s="3">
        <v>63669</v>
      </c>
      <c r="G38" s="3">
        <v>150000</v>
      </c>
      <c r="H38" s="15"/>
    </row>
    <row r="39" spans="1:8" ht="15.6" x14ac:dyDescent="0.3">
      <c r="A39" s="5">
        <f ca="1">_xlfn.AGGREGATE(4,7,A$8:A38)+1</f>
        <v>37</v>
      </c>
      <c r="B39" s="2" t="s">
        <v>43</v>
      </c>
      <c r="C39" s="2" t="s">
        <v>84</v>
      </c>
      <c r="D39" s="2" t="s">
        <v>75</v>
      </c>
      <c r="E39" s="2" t="s">
        <v>110</v>
      </c>
      <c r="F39" s="3">
        <v>64630</v>
      </c>
      <c r="G39" s="3">
        <v>159000</v>
      </c>
      <c r="H39" s="15"/>
    </row>
    <row r="40" spans="1:8" ht="15.6" x14ac:dyDescent="0.3">
      <c r="A40" s="5">
        <v>38</v>
      </c>
      <c r="B40" s="2" t="s">
        <v>87</v>
      </c>
      <c r="C40" s="11" t="s">
        <v>96</v>
      </c>
      <c r="D40" s="2" t="s">
        <v>52</v>
      </c>
      <c r="E40" s="2" t="s">
        <v>129</v>
      </c>
      <c r="F40" s="13"/>
      <c r="G40" s="7">
        <v>75000</v>
      </c>
      <c r="H40" s="15"/>
    </row>
    <row r="41" spans="1:8" ht="15.6" x14ac:dyDescent="0.3">
      <c r="A41" s="5">
        <v>39</v>
      </c>
      <c r="B41" s="2" t="s">
        <v>88</v>
      </c>
      <c r="C41" s="11" t="s">
        <v>97</v>
      </c>
      <c r="D41" s="2" t="s">
        <v>52</v>
      </c>
      <c r="E41" s="2" t="s">
        <v>129</v>
      </c>
      <c r="F41" s="13"/>
      <c r="G41" s="7">
        <v>80000</v>
      </c>
      <c r="H41" s="15"/>
    </row>
    <row r="42" spans="1:8" ht="15.6" x14ac:dyDescent="0.3">
      <c r="A42" s="5">
        <v>40</v>
      </c>
      <c r="B42" s="2" t="s">
        <v>89</v>
      </c>
      <c r="C42" s="11" t="s">
        <v>98</v>
      </c>
      <c r="D42" s="2" t="s">
        <v>52</v>
      </c>
      <c r="E42" s="2" t="s">
        <v>129</v>
      </c>
      <c r="F42" s="13"/>
      <c r="G42" s="7">
        <v>90000</v>
      </c>
      <c r="H42" s="15"/>
    </row>
    <row r="43" spans="1:8" ht="15.6" x14ac:dyDescent="0.3">
      <c r="A43" s="5">
        <v>41</v>
      </c>
      <c r="B43" s="2" t="s">
        <v>90</v>
      </c>
      <c r="C43" s="11" t="s">
        <v>99</v>
      </c>
      <c r="D43" s="2" t="s">
        <v>52</v>
      </c>
      <c r="E43" s="2" t="s">
        <v>129</v>
      </c>
      <c r="F43" s="13"/>
      <c r="G43" s="7">
        <v>108000</v>
      </c>
      <c r="H43" s="15"/>
    </row>
    <row r="44" spans="1:8" ht="15.6" x14ac:dyDescent="0.3">
      <c r="A44" s="5">
        <v>42</v>
      </c>
      <c r="B44" s="2" t="s">
        <v>91</v>
      </c>
      <c r="C44" s="11" t="s">
        <v>100</v>
      </c>
      <c r="D44" s="2" t="s">
        <v>52</v>
      </c>
      <c r="E44" s="2" t="s">
        <v>129</v>
      </c>
      <c r="F44" s="13"/>
      <c r="G44" s="7">
        <v>123000</v>
      </c>
      <c r="H44" s="15"/>
    </row>
    <row r="45" spans="1:8" ht="15.6" x14ac:dyDescent="0.3">
      <c r="A45" s="5">
        <v>43</v>
      </c>
      <c r="B45" s="2" t="s">
        <v>92</v>
      </c>
      <c r="C45" s="11" t="s">
        <v>101</v>
      </c>
      <c r="D45" s="2" t="s">
        <v>52</v>
      </c>
      <c r="E45" s="2" t="s">
        <v>129</v>
      </c>
      <c r="F45" s="13"/>
      <c r="G45" s="7">
        <v>138000</v>
      </c>
      <c r="H45" s="15"/>
    </row>
    <row r="46" spans="1:8" ht="15.6" x14ac:dyDescent="0.3">
      <c r="A46" s="5">
        <v>44</v>
      </c>
      <c r="B46" s="2" t="s">
        <v>93</v>
      </c>
      <c r="C46" s="11" t="s">
        <v>102</v>
      </c>
      <c r="D46" s="2" t="s">
        <v>52</v>
      </c>
      <c r="E46" s="2" t="s">
        <v>129</v>
      </c>
      <c r="F46" s="13"/>
      <c r="G46" s="7">
        <v>156000</v>
      </c>
      <c r="H46" s="15"/>
    </row>
    <row r="47" spans="1:8" ht="15.6" x14ac:dyDescent="0.3">
      <c r="A47" s="5">
        <v>45</v>
      </c>
      <c r="B47" s="2" t="s">
        <v>94</v>
      </c>
      <c r="C47" s="11" t="s">
        <v>103</v>
      </c>
      <c r="D47" s="2" t="s">
        <v>52</v>
      </c>
      <c r="E47" s="2" t="s">
        <v>129</v>
      </c>
      <c r="F47" s="13"/>
      <c r="G47" s="7">
        <v>174000</v>
      </c>
      <c r="H47" s="15"/>
    </row>
    <row r="48" spans="1:8" ht="15.6" x14ac:dyDescent="0.3">
      <c r="A48" s="5">
        <v>46</v>
      </c>
      <c r="B48" s="2" t="s">
        <v>95</v>
      </c>
      <c r="C48" s="11" t="s">
        <v>104</v>
      </c>
      <c r="D48" s="2" t="s">
        <v>52</v>
      </c>
      <c r="E48" s="2" t="s">
        <v>129</v>
      </c>
      <c r="F48" s="13"/>
      <c r="G48" s="7">
        <v>70000</v>
      </c>
      <c r="H48" s="15"/>
    </row>
    <row r="49" spans="1:8" ht="15.6" x14ac:dyDescent="0.3">
      <c r="A49" s="5">
        <v>47</v>
      </c>
      <c r="B49" s="2" t="s">
        <v>107</v>
      </c>
      <c r="C49" s="11" t="s">
        <v>105</v>
      </c>
      <c r="D49" s="2" t="s">
        <v>45</v>
      </c>
      <c r="E49" s="2" t="s">
        <v>130</v>
      </c>
      <c r="F49" s="13"/>
      <c r="G49" s="7">
        <v>114000</v>
      </c>
      <c r="H49" s="15"/>
    </row>
    <row r="50" spans="1:8" ht="15.6" x14ac:dyDescent="0.3">
      <c r="A50" s="10">
        <v>48</v>
      </c>
      <c r="B50" s="8" t="s">
        <v>108</v>
      </c>
      <c r="C50" s="12" t="s">
        <v>106</v>
      </c>
      <c r="D50" s="8" t="s">
        <v>45</v>
      </c>
      <c r="E50" s="2" t="s">
        <v>130</v>
      </c>
      <c r="F50" s="14"/>
      <c r="G50" s="9">
        <v>150000</v>
      </c>
      <c r="H50" s="1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ducnm</dc:creator>
  <cp:lastModifiedBy>ducnm</cp:lastModifiedBy>
  <dcterms:created xsi:type="dcterms:W3CDTF">2015-06-05T18:17:20Z</dcterms:created>
  <dcterms:modified xsi:type="dcterms:W3CDTF">2026-08-25T04:35:24Z</dcterms:modified>
</cp:coreProperties>
</file>