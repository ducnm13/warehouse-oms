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PERSONALS\Workspace\DEV\Order Management System - OMS\"/>
    </mc:Choice>
  </mc:AlternateContent>
  <xr:revisionPtr revIDLastSave="0" documentId="13_ncr:1_{3891603A-413E-444B-9299-FD7F54A29D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1" l="1"/>
  <c r="K19" i="1"/>
  <c r="I19" i="1"/>
  <c r="I17" i="1"/>
  <c r="K17" i="1" s="1"/>
  <c r="M17" i="1" s="1"/>
  <c r="I18" i="1"/>
  <c r="I16" i="1"/>
  <c r="K18" i="1"/>
  <c r="M18" i="1" s="1"/>
  <c r="K16" i="1"/>
  <c r="M16" i="1" s="1"/>
  <c r="A33" i="1" a="1"/>
  <c r="A33" i="1" l="1"/>
  <c r="M28" i="1"/>
  <c r="M29" i="1" s="1"/>
  <c r="M30" i="1" s="1"/>
  <c r="M3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<sst xmlns="http://schemas.openxmlformats.org/spreadsheetml/2006/main" count="69" uniqueCount="61">
  <si>
    <t>Khách hàng:</t>
  </si>
  <si>
    <t>Loại hình khách hàng:</t>
  </si>
  <si>
    <t>Địa chỉ xuất HĐ:</t>
  </si>
  <si>
    <t>Địa chỉ giao hàng:</t>
  </si>
  <si>
    <t>Mã số thuế:</t>
  </si>
  <si>
    <t>Người đặt hàng:</t>
  </si>
  <si>
    <t>CÔNG TY TNHH SẢN XUẤT THƯƠNG MẠI DỊCH VỤ CHALLENGE</t>
  </si>
  <si>
    <t>Trụ sở chính: 159 Hùng Vương, phường Đạo Thạnh, tỉnh Đồng Tháp</t>
  </si>
  <si>
    <t>Nhà máy: 260 Nguyễn Quân, phường Đạo Thạnh, tỉnh Đồng Tháp</t>
  </si>
  <si>
    <t>Website: chance.vn</t>
  </si>
  <si>
    <t>ĐƠN ĐẶT HÀNG</t>
  </si>
  <si>
    <t>abc</t>
  </si>
  <si>
    <t>Đại lý</t>
  </si>
  <si>
    <t>Số điện thoại:</t>
  </si>
  <si>
    <t>012345678</t>
  </si>
  <si>
    <t>STT</t>
  </si>
  <si>
    <t>Mã hàng hóa</t>
  </si>
  <si>
    <t>Tên hàng hóa</t>
  </si>
  <si>
    <t>Số lượng</t>
  </si>
  <si>
    <t>Số lượng hàng hỗ trợ</t>
  </si>
  <si>
    <t>Sản phẩm hỗ trợ</t>
  </si>
  <si>
    <t>Giá bán</t>
  </si>
  <si>
    <t>Thành tiền
(trước VAT)</t>
  </si>
  <si>
    <t>Chiết khấu</t>
  </si>
  <si>
    <t>Thành tiền
(trước VAT sau chiết khấu)</t>
  </si>
  <si>
    <t>Ghi chú</t>
  </si>
  <si>
    <t>Trước VAT</t>
  </si>
  <si>
    <t>Sau VAT</t>
  </si>
  <si>
    <t>Quy cách</t>
  </si>
  <si>
    <t>ĐVT</t>
  </si>
  <si>
    <t>Cộng tiền hàng</t>
  </si>
  <si>
    <t>VAT (8%)</t>
  </si>
  <si>
    <t>Tổng tiền hàng sau VAT</t>
  </si>
  <si>
    <t>Phí vận chuyển</t>
  </si>
  <si>
    <t>Tổng tiền ( Bằng số)</t>
  </si>
  <si>
    <t>Đơn giá trên đã gồm 08% VAT và chiết khấu thương mại.</t>
  </si>
  <si>
    <t>Hình thức thanh toán: Thanh toán 100% số tiền trên</t>
  </si>
  <si>
    <t xml:space="preserve">Thời gian giao hàng: </t>
  </si>
  <si>
    <t>Đơn đặt hàng cho Bên Mua trong vòng 3 ngày trước khi giao hàng</t>
  </si>
  <si>
    <t>Kế Toán</t>
  </si>
  <si>
    <t xml:space="preserve"> (Ký, ghi họ tên)</t>
  </si>
  <si>
    <t xml:space="preserve">Ngày đặt hàng: </t>
  </si>
  <si>
    <t>Số phiếu:</t>
  </si>
  <si>
    <t xml:space="preserve">CÔNG TY TNHH SẢN XUẤT THƯƠNG MẠI DỊCH VỤ CHALLENGE    </t>
  </si>
  <si>
    <t>(Ký, ghi họ tên)</t>
  </si>
  <si>
    <t xml:space="preserve">ĐẠI DIỆN KHÁCH HÀNG </t>
  </si>
  <si>
    <t>NGƯỜI LẬP</t>
  </si>
  <si>
    <t>CLC2818</t>
  </si>
  <si>
    <t>Cà phê COP28 3in1 - Hộp 18 gói</t>
  </si>
  <si>
    <t>Hộp</t>
  </si>
  <si>
    <t>CLC28PA</t>
  </si>
  <si>
    <t>CLMT12</t>
  </si>
  <si>
    <t>Matcha Tòa Tan - Hộp 12 gói</t>
  </si>
  <si>
    <t>18 gói x 17 gr</t>
  </si>
  <si>
    <t>12 gói x 17 gr</t>
  </si>
  <si>
    <t>CLCA12</t>
  </si>
  <si>
    <t>Cacao Hòa Tan - Hộp 12 gói</t>
  </si>
  <si>
    <t>CLHH01</t>
  </si>
  <si>
    <t>Cà Phê Bảo Minh Legacy Hoàn Hảo 1</t>
  </si>
  <si>
    <t>1 gói x 340 gr</t>
  </si>
  <si>
    <t>Gói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</si>
</sst>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2"/>
      <name val="Times New Roman"/>
      <family val="1"/>
    </font>
    <font>
      <b/>
      <sz val="12"/>
      <color indexed="8"/>
      <name val="Times New Roman"/>
      <family val="1"/>
    </font>
    <font>
      <b/>
      <sz val="22"/>
      <name val="Times New Roman"/>
      <family val="1"/>
    </font>
    <font>
      <i/>
      <sz val="12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hair">
        <color indexed="8"/>
      </bottom>
      <diagonal/>
    </border>
    <border>
      <left style="thin">
        <color indexed="64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5" fillId="0" borderId="0" xfId="0" applyFont="1"/>
    <xf numFmtId="0" fontId="6" fillId="0" borderId="0" xfId="0" applyFont="1"/>
    <xf numFmtId="14" fontId="5" fillId="0" borderId="0" xfId="0" applyNumberFormat="1" applyFont="1"/>
    <xf numFmtId="3" fontId="7" fillId="0" borderId="8" xfId="0" applyNumberFormat="1" applyFont="1" applyBorder="1" applyAlignment="1">
      <alignment horizontal="right" vertical="center"/>
    </xf>
    <xf numFmtId="3" fontId="7" fillId="0" borderId="9" xfId="0" applyNumberFormat="1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3" fontId="8" fillId="0" borderId="8" xfId="0" applyNumberFormat="1" applyFont="1" applyBorder="1" applyAlignment="1">
      <alignment horizontal="right" vertical="center"/>
    </xf>
    <xf numFmtId="3" fontId="8" fillId="0" borderId="9" xfId="0" applyNumberFormat="1" applyFont="1" applyBorder="1" applyAlignment="1">
      <alignment horizontal="right" vertical="center"/>
    </xf>
    <xf numFmtId="3" fontId="8" fillId="0" borderId="9" xfId="0" applyNumberFormat="1" applyFont="1" applyBorder="1" applyAlignment="1">
      <alignment horizontal="right" vertical="center" wrapText="1"/>
    </xf>
    <xf numFmtId="0" fontId="9" fillId="0" borderId="0" xfId="0" applyFont="1"/>
    <xf numFmtId="0" fontId="5" fillId="0" borderId="0" xfId="0" quotePrefix="1" applyFont="1" applyAlignment="1">
      <alignment horizontal="right"/>
    </xf>
    <xf numFmtId="3" fontId="8" fillId="0" borderId="9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10" fillId="3" borderId="0" xfId="0" applyFont="1" applyFill="1" applyAlignme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3" fontId="7" fillId="0" borderId="12" xfId="0" applyNumberFormat="1" applyFont="1" applyBorder="1" applyAlignment="1">
      <alignment horizontal="right" vertical="center"/>
    </xf>
    <xf numFmtId="3" fontId="7" fillId="0" borderId="13" xfId="0" applyNumberFormat="1" applyFont="1" applyBorder="1" applyAlignment="1">
      <alignment horizontal="right" vertical="center"/>
    </xf>
    <xf numFmtId="3" fontId="7" fillId="0" borderId="2" xfId="0" applyNumberFormat="1" applyFont="1" applyBorder="1" applyAlignment="1">
      <alignment horizontal="right" vertical="center"/>
    </xf>
    <xf numFmtId="0" fontId="8" fillId="0" borderId="14" xfId="0" applyFont="1" applyBorder="1" applyAlignment="1">
      <alignment horizontal="center" vertical="center"/>
    </xf>
    <xf numFmtId="3" fontId="8" fillId="0" borderId="15" xfId="0" applyNumberFormat="1" applyFont="1" applyBorder="1" applyAlignment="1">
      <alignment horizontal="right" vertical="center"/>
    </xf>
    <xf numFmtId="3" fontId="7" fillId="0" borderId="15" xfId="0" applyNumberFormat="1" applyFont="1" applyBorder="1" applyAlignment="1">
      <alignment horizontal="right" vertical="center"/>
    </xf>
    <xf numFmtId="0" fontId="7" fillId="0" borderId="9" xfId="0" applyFont="1" applyBorder="1" applyAlignment="1">
      <alignment horizontal="left" vertical="center" wrapText="1"/>
    </xf>
    <xf numFmtId="3" fontId="7" fillId="0" borderId="10" xfId="0" applyNumberFormat="1" applyFont="1" applyBorder="1" applyAlignment="1">
      <alignment horizontal="center" vertical="center"/>
    </xf>
    <xf numFmtId="3" fontId="7" fillId="0" borderId="11" xfId="0" applyNumberFormat="1" applyFont="1" applyBorder="1" applyAlignment="1">
      <alignment horizontal="center" vertical="center"/>
    </xf>
    <xf numFmtId="3" fontId="7" fillId="0" borderId="16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7" fillId="0" borderId="9" xfId="0" applyFont="1" applyBorder="1" applyAlignment="1">
      <alignment horizontal="center" vertical="center" wrapText="1"/>
    </xf>
    <xf numFmtId="3" fontId="7" fillId="0" borderId="9" xfId="0" applyNumberFormat="1" applyFont="1" applyBorder="1" applyAlignment="1">
      <alignment horizontal="center" vertical="center"/>
    </xf>
    <xf numFmtId="3" fontId="7" fillId="0" borderId="13" xfId="0" applyNumberFormat="1" applyFont="1" applyBorder="1" applyAlignment="1">
      <alignment horizontal="center" vertical="center"/>
    </xf>
    <xf numFmtId="9" fontId="7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782783</xdr:colOff>
      <xdr:row>1</xdr:row>
      <xdr:rowOff>112</xdr:rowOff>
    </xdr:from>
    <xdr:to>
      <xdr:col>13</xdr:col>
      <xdr:colOff>1872443</xdr:colOff>
      <xdr:row>3</xdr:row>
      <xdr:rowOff>38742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F4CCC5-F72D-F242-9301-7E99102F7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56128" y="194076"/>
          <a:ext cx="1089660" cy="42655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MyExcel\MyExcel.xlam" TargetMode="External"/><Relationship Id="rId1" Type="http://schemas.openxmlformats.org/officeDocument/2006/relationships/externalLinkPath" Target="file:///C:\MyExcel\MyExcel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vnd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9"/>
  <sheetViews>
    <sheetView tabSelected="1" topLeftCell="A8" zoomScale="70" zoomScaleNormal="70" workbookViewId="0">
      <selection activeCell="U26" sqref="U26"/>
    </sheetView>
  </sheetViews>
  <sheetFormatPr defaultRowHeight="13.8" x14ac:dyDescent="0.25"/>
  <cols>
    <col min="1" max="1" width="7.109375" style="3" customWidth="1"/>
    <col min="2" max="2" width="13.5546875" style="3" customWidth="1"/>
    <col min="3" max="3" width="38" style="3" customWidth="1"/>
    <col min="4" max="4" width="19" style="3" customWidth="1"/>
    <col min="5" max="6" width="8.88671875" style="3"/>
    <col min="7" max="7" width="11.109375" style="3" customWidth="1"/>
    <col min="8" max="8" width="27.109375" style="3" customWidth="1"/>
    <col min="9" max="9" width="12.33203125" style="3" customWidth="1"/>
    <col min="10" max="10" width="13.5546875" style="3" customWidth="1"/>
    <col min="11" max="11" width="15.21875" style="3" customWidth="1"/>
    <col min="12" max="12" width="13" style="3" customWidth="1"/>
    <col min="13" max="13" width="16.21875" style="3" customWidth="1"/>
    <col min="14" max="14" width="33.5546875" style="3" customWidth="1"/>
    <col min="15" max="16384" width="8.88671875" style="3"/>
  </cols>
  <sheetData>
    <row r="1" spans="1:14" ht="15.6" x14ac:dyDescent="0.25">
      <c r="A1" s="1" t="s">
        <v>6</v>
      </c>
    </row>
    <row r="2" spans="1:14" ht="15.6" x14ac:dyDescent="0.25">
      <c r="A2" s="2" t="s">
        <v>7</v>
      </c>
    </row>
    <row r="3" spans="1:14" ht="15.6" x14ac:dyDescent="0.25">
      <c r="A3" s="2" t="s">
        <v>8</v>
      </c>
    </row>
    <row r="4" spans="1:14" ht="15.6" x14ac:dyDescent="0.25">
      <c r="A4" s="2" t="s">
        <v>9</v>
      </c>
      <c r="B4" s="4"/>
    </row>
    <row r="5" spans="1:14" ht="27.6" x14ac:dyDescent="0.25">
      <c r="A5" s="22" t="s">
        <v>10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</row>
    <row r="6" spans="1:14" ht="13.8" customHeight="1" x14ac:dyDescent="0.25">
      <c r="A6" s="24"/>
      <c r="B6" s="24"/>
      <c r="C6" s="24"/>
      <c r="D6" s="24"/>
      <c r="E6" s="24"/>
      <c r="F6" s="24" t="s">
        <v>41</v>
      </c>
      <c r="G6" s="24"/>
      <c r="H6" s="24" t="s">
        <v>42</v>
      </c>
      <c r="I6" s="24"/>
      <c r="J6" s="24"/>
      <c r="K6" s="24"/>
      <c r="L6" s="24"/>
      <c r="M6" s="24"/>
      <c r="N6" s="24"/>
    </row>
    <row r="7" spans="1:14" x14ac:dyDescent="0.25">
      <c r="A7" s="14" t="s">
        <v>0</v>
      </c>
      <c r="C7" s="14" t="s">
        <v>11</v>
      </c>
    </row>
    <row r="8" spans="1:14" x14ac:dyDescent="0.25">
      <c r="A8" s="14" t="s">
        <v>1</v>
      </c>
      <c r="C8" s="14" t="s">
        <v>12</v>
      </c>
      <c r="L8" s="3" t="s">
        <v>13</v>
      </c>
      <c r="M8" s="15" t="s">
        <v>14</v>
      </c>
    </row>
    <row r="9" spans="1:14" x14ac:dyDescent="0.25">
      <c r="A9" s="14" t="s">
        <v>2</v>
      </c>
      <c r="C9" s="14"/>
    </row>
    <row r="10" spans="1:14" x14ac:dyDescent="0.25">
      <c r="A10" s="14" t="s">
        <v>3</v>
      </c>
      <c r="C10" s="14"/>
    </row>
    <row r="11" spans="1:14" x14ac:dyDescent="0.25">
      <c r="A11" s="14" t="s">
        <v>4</v>
      </c>
      <c r="C11" s="14"/>
      <c r="M11" s="5"/>
    </row>
    <row r="12" spans="1:14" x14ac:dyDescent="0.25">
      <c r="A12" s="14" t="s">
        <v>5</v>
      </c>
      <c r="C12" s="14" t="s">
        <v>11</v>
      </c>
    </row>
    <row r="14" spans="1:14" ht="41.4" customHeight="1" x14ac:dyDescent="0.25">
      <c r="A14" s="8" t="s">
        <v>15</v>
      </c>
      <c r="B14" s="9" t="s">
        <v>16</v>
      </c>
      <c r="C14" s="9" t="s">
        <v>17</v>
      </c>
      <c r="D14" s="9" t="s">
        <v>28</v>
      </c>
      <c r="E14" s="9" t="s">
        <v>29</v>
      </c>
      <c r="F14" s="9" t="s">
        <v>18</v>
      </c>
      <c r="G14" s="10" t="s">
        <v>19</v>
      </c>
      <c r="H14" s="9" t="s">
        <v>20</v>
      </c>
      <c r="I14" s="10" t="s">
        <v>21</v>
      </c>
      <c r="J14" s="10"/>
      <c r="K14" s="10" t="s">
        <v>22</v>
      </c>
      <c r="L14" s="9" t="s">
        <v>23</v>
      </c>
      <c r="M14" s="10" t="s">
        <v>24</v>
      </c>
      <c r="N14" s="32" t="s">
        <v>25</v>
      </c>
    </row>
    <row r="15" spans="1:14" ht="15.6" x14ac:dyDescent="0.25">
      <c r="A15" s="11"/>
      <c r="B15" s="12"/>
      <c r="C15" s="12"/>
      <c r="D15" s="12"/>
      <c r="E15" s="12"/>
      <c r="F15" s="12"/>
      <c r="G15" s="13"/>
      <c r="H15" s="12"/>
      <c r="I15" s="16" t="s">
        <v>26</v>
      </c>
      <c r="J15" s="16" t="s">
        <v>27</v>
      </c>
      <c r="K15" s="13"/>
      <c r="L15" s="12"/>
      <c r="M15" s="13"/>
      <c r="N15" s="33"/>
    </row>
    <row r="16" spans="1:14" ht="15.6" x14ac:dyDescent="0.25">
      <c r="A16" s="6">
        <v>1</v>
      </c>
      <c r="B16" s="35" t="s">
        <v>47</v>
      </c>
      <c r="C16" s="35" t="s">
        <v>48</v>
      </c>
      <c r="D16" s="42" t="s">
        <v>53</v>
      </c>
      <c r="E16" s="43" t="s">
        <v>49</v>
      </c>
      <c r="F16" s="43">
        <v>300</v>
      </c>
      <c r="G16" s="43">
        <v>300</v>
      </c>
      <c r="H16" s="43" t="s">
        <v>50</v>
      </c>
      <c r="I16" s="7">
        <f>J16/(1+8%)</f>
        <v>60185.185185185182</v>
      </c>
      <c r="J16" s="7">
        <v>65000</v>
      </c>
      <c r="K16" s="7">
        <f>I16*F16</f>
        <v>18055555.555555556</v>
      </c>
      <c r="L16" s="45">
        <v>0.2</v>
      </c>
      <c r="M16" s="7">
        <f>K16*(1-L16)</f>
        <v>14444444.444444446</v>
      </c>
      <c r="N16" s="34"/>
    </row>
    <row r="17" spans="1:14" ht="15.6" x14ac:dyDescent="0.25">
      <c r="A17" s="6">
        <v>2</v>
      </c>
      <c r="B17" s="35" t="s">
        <v>51</v>
      </c>
      <c r="C17" s="35" t="s">
        <v>52</v>
      </c>
      <c r="D17" s="42" t="s">
        <v>54</v>
      </c>
      <c r="E17" s="43" t="s">
        <v>49</v>
      </c>
      <c r="F17" s="43">
        <v>48</v>
      </c>
      <c r="G17" s="43">
        <v>4</v>
      </c>
      <c r="H17" s="43" t="s">
        <v>55</v>
      </c>
      <c r="I17" s="7">
        <f t="shared" ref="I17:I20" si="0">J17/(1+8%)</f>
        <v>60185.185185185182</v>
      </c>
      <c r="J17" s="7">
        <v>65000</v>
      </c>
      <c r="K17" s="7">
        <f t="shared" ref="K17:K23" si="1">I17*F17</f>
        <v>2888888.888888889</v>
      </c>
      <c r="L17" s="45">
        <v>0.2</v>
      </c>
      <c r="M17" s="7">
        <f t="shared" ref="M17:M18" si="2">K17*(1-L17)</f>
        <v>2311111.1111111115</v>
      </c>
      <c r="N17" s="34"/>
    </row>
    <row r="18" spans="1:14" ht="15.6" x14ac:dyDescent="0.25">
      <c r="A18" s="6">
        <v>3</v>
      </c>
      <c r="B18" s="35" t="s">
        <v>55</v>
      </c>
      <c r="C18" s="35" t="s">
        <v>56</v>
      </c>
      <c r="D18" s="43" t="s">
        <v>54</v>
      </c>
      <c r="E18" s="43" t="s">
        <v>49</v>
      </c>
      <c r="F18" s="43">
        <v>24</v>
      </c>
      <c r="G18" s="43">
        <v>2</v>
      </c>
      <c r="H18" s="42" t="s">
        <v>51</v>
      </c>
      <c r="I18" s="7">
        <f t="shared" si="0"/>
        <v>83333.333333333328</v>
      </c>
      <c r="J18" s="7">
        <v>90000</v>
      </c>
      <c r="K18" s="7">
        <f t="shared" si="1"/>
        <v>2000000</v>
      </c>
      <c r="L18" s="45">
        <v>0.2</v>
      </c>
      <c r="M18" s="7">
        <f>K18*(1-L18)</f>
        <v>1600000</v>
      </c>
      <c r="N18" s="34"/>
    </row>
    <row r="19" spans="1:14" ht="15.6" x14ac:dyDescent="0.25">
      <c r="A19" s="6">
        <v>4</v>
      </c>
      <c r="B19" s="35" t="s">
        <v>57</v>
      </c>
      <c r="C19" s="35" t="s">
        <v>58</v>
      </c>
      <c r="D19" s="43" t="s">
        <v>59</v>
      </c>
      <c r="E19" s="43" t="s">
        <v>60</v>
      </c>
      <c r="F19" s="43">
        <v>20</v>
      </c>
      <c r="G19" s="43"/>
      <c r="H19" s="43"/>
      <c r="I19" s="7">
        <f t="shared" si="0"/>
        <v>83333.333333333328</v>
      </c>
      <c r="J19" s="7">
        <v>90000</v>
      </c>
      <c r="K19" s="7">
        <f t="shared" si="1"/>
        <v>1666666.6666666665</v>
      </c>
      <c r="L19" s="45">
        <v>0.2</v>
      </c>
      <c r="M19" s="7">
        <f>K19*(1-L19)</f>
        <v>1333333.3333333333</v>
      </c>
      <c r="N19" s="34"/>
    </row>
    <row r="20" spans="1:14" ht="15.6" x14ac:dyDescent="0.25">
      <c r="A20" s="6"/>
      <c r="B20" s="7"/>
      <c r="C20" s="7"/>
      <c r="D20" s="43"/>
      <c r="E20" s="43"/>
      <c r="F20" s="43"/>
      <c r="G20" s="43"/>
      <c r="H20" s="43"/>
      <c r="I20" s="7"/>
      <c r="J20" s="7"/>
      <c r="K20" s="7"/>
      <c r="L20" s="7"/>
      <c r="M20" s="7"/>
      <c r="N20" s="34"/>
    </row>
    <row r="21" spans="1:14" ht="15.6" x14ac:dyDescent="0.25">
      <c r="A21" s="6"/>
      <c r="B21" s="7"/>
      <c r="C21" s="7"/>
      <c r="D21" s="43"/>
      <c r="E21" s="43"/>
      <c r="F21" s="43"/>
      <c r="G21" s="43"/>
      <c r="H21" s="43"/>
      <c r="I21" s="7"/>
      <c r="J21" s="7"/>
      <c r="K21" s="7"/>
      <c r="L21" s="7"/>
      <c r="M21" s="7"/>
      <c r="N21" s="34"/>
    </row>
    <row r="22" spans="1:14" ht="15.6" x14ac:dyDescent="0.25">
      <c r="A22" s="6"/>
      <c r="B22" s="7"/>
      <c r="C22" s="7"/>
      <c r="D22" s="43"/>
      <c r="E22" s="43"/>
      <c r="F22" s="43"/>
      <c r="G22" s="43"/>
      <c r="H22" s="43"/>
      <c r="I22" s="7"/>
      <c r="J22" s="7"/>
      <c r="K22" s="7"/>
      <c r="L22" s="7"/>
      <c r="M22" s="7"/>
      <c r="N22" s="34"/>
    </row>
    <row r="23" spans="1:14" ht="15.6" x14ac:dyDescent="0.25">
      <c r="A23" s="6"/>
      <c r="B23" s="7"/>
      <c r="C23" s="7"/>
      <c r="D23" s="43"/>
      <c r="E23" s="43"/>
      <c r="F23" s="43"/>
      <c r="G23" s="43"/>
      <c r="H23" s="43"/>
      <c r="I23" s="7"/>
      <c r="J23" s="7"/>
      <c r="K23" s="7"/>
      <c r="L23" s="7"/>
      <c r="M23" s="7"/>
      <c r="N23" s="34"/>
    </row>
    <row r="24" spans="1:14" ht="15.6" x14ac:dyDescent="0.25">
      <c r="A24" s="6"/>
      <c r="B24" s="7"/>
      <c r="C24" s="7"/>
      <c r="D24" s="43"/>
      <c r="E24" s="43"/>
      <c r="F24" s="43"/>
      <c r="G24" s="43"/>
      <c r="H24" s="43"/>
      <c r="I24" s="7"/>
      <c r="J24" s="7"/>
      <c r="K24" s="7"/>
      <c r="L24" s="7"/>
      <c r="M24" s="7"/>
      <c r="N24" s="34"/>
    </row>
    <row r="25" spans="1:14" ht="15.6" x14ac:dyDescent="0.25">
      <c r="A25" s="6"/>
      <c r="B25" s="7"/>
      <c r="C25" s="7"/>
      <c r="D25" s="43"/>
      <c r="E25" s="43"/>
      <c r="F25" s="43"/>
      <c r="G25" s="43"/>
      <c r="H25" s="43"/>
      <c r="I25" s="7"/>
      <c r="J25" s="7"/>
      <c r="K25" s="7"/>
      <c r="L25" s="7"/>
      <c r="M25" s="7"/>
      <c r="N25" s="34"/>
    </row>
    <row r="26" spans="1:14" ht="15.6" x14ac:dyDescent="0.25">
      <c r="A26" s="6"/>
      <c r="B26" s="7"/>
      <c r="C26" s="7"/>
      <c r="D26" s="43"/>
      <c r="E26" s="43"/>
      <c r="F26" s="43"/>
      <c r="G26" s="43"/>
      <c r="H26" s="43"/>
      <c r="I26" s="7"/>
      <c r="J26" s="7"/>
      <c r="K26" s="7"/>
      <c r="L26" s="7"/>
      <c r="M26" s="7"/>
      <c r="N26" s="34"/>
    </row>
    <row r="27" spans="1:14" ht="15.6" x14ac:dyDescent="0.25">
      <c r="A27" s="29"/>
      <c r="B27" s="30"/>
      <c r="C27" s="30"/>
      <c r="D27" s="44"/>
      <c r="E27" s="44"/>
      <c r="F27" s="44"/>
      <c r="G27" s="44"/>
      <c r="H27" s="44"/>
      <c r="I27" s="30"/>
      <c r="J27" s="30"/>
      <c r="K27" s="30"/>
      <c r="L27" s="30"/>
      <c r="M27" s="30"/>
      <c r="N27" s="34"/>
    </row>
    <row r="28" spans="1:14" ht="15.6" x14ac:dyDescent="0.25">
      <c r="A28" s="36" t="s">
        <v>30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8"/>
      <c r="M28" s="31">
        <f>SUBTOTAL(9,M16:M27)</f>
        <v>19688888.888888892</v>
      </c>
      <c r="N28" s="34"/>
    </row>
    <row r="29" spans="1:14" ht="15.6" x14ac:dyDescent="0.25">
      <c r="A29" s="36" t="s">
        <v>31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8"/>
      <c r="M29" s="31">
        <f>M28*8%</f>
        <v>1575111.1111111115</v>
      </c>
      <c r="N29" s="34"/>
    </row>
    <row r="30" spans="1:14" ht="15.6" x14ac:dyDescent="0.25">
      <c r="A30" s="36" t="s">
        <v>32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8"/>
      <c r="M30" s="31">
        <f>SUM(M28:M29)</f>
        <v>21264000.000000004</v>
      </c>
      <c r="N30" s="34"/>
    </row>
    <row r="31" spans="1:14" ht="15.6" x14ac:dyDescent="0.25">
      <c r="A31" s="36" t="s">
        <v>33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8"/>
      <c r="M31" s="31">
        <v>0</v>
      </c>
      <c r="N31" s="34"/>
    </row>
    <row r="32" spans="1:14" ht="15.6" x14ac:dyDescent="0.25">
      <c r="A32" s="36" t="s">
        <v>34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8"/>
      <c r="M32" s="31">
        <f>M30-M31</f>
        <v>21264000.000000004</v>
      </c>
      <c r="N32" s="34"/>
    </row>
    <row r="33" spans="1:14" ht="14.4" customHeight="1" x14ac:dyDescent="0.25">
      <c r="A33" s="39" t="str" cm="1">
        <f t="array" ref="A33">[1]!vnd(M32)</f>
        <v>Số tiền (bằng chữ): Hai mươi mốt triệu hai trăm sáu mươi bốn nghìn đồng</v>
      </c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1"/>
    </row>
    <row r="34" spans="1:14" ht="16.2" x14ac:dyDescent="0.25">
      <c r="A34" s="17" t="s">
        <v>35</v>
      </c>
      <c r="B34" s="18"/>
    </row>
    <row r="35" spans="1:14" ht="16.2" x14ac:dyDescent="0.25">
      <c r="A35" s="19" t="s">
        <v>36</v>
      </c>
      <c r="B35" s="18"/>
      <c r="D35" s="19" t="s">
        <v>38</v>
      </c>
    </row>
    <row r="36" spans="1:14" ht="16.2" x14ac:dyDescent="0.25">
      <c r="A36" s="20" t="s">
        <v>37</v>
      </c>
      <c r="B36" s="21"/>
    </row>
    <row r="38" spans="1:14" ht="15.6" x14ac:dyDescent="0.25">
      <c r="A38" s="27" t="s">
        <v>45</v>
      </c>
      <c r="B38" s="27"/>
      <c r="C38" s="27"/>
      <c r="D38" s="27" t="s">
        <v>46</v>
      </c>
      <c r="E38" s="27"/>
      <c r="F38" s="27"/>
      <c r="G38" s="27"/>
      <c r="H38" s="27" t="s">
        <v>39</v>
      </c>
      <c r="I38" s="27"/>
      <c r="J38" s="27"/>
      <c r="K38" s="25" t="s">
        <v>43</v>
      </c>
      <c r="L38" s="25"/>
      <c r="M38" s="25"/>
      <c r="N38" s="25"/>
    </row>
    <row r="39" spans="1:14" ht="15.6" x14ac:dyDescent="0.25">
      <c r="A39" s="28" t="s">
        <v>44</v>
      </c>
      <c r="B39" s="28"/>
      <c r="C39" s="28"/>
      <c r="D39" s="28" t="s">
        <v>44</v>
      </c>
      <c r="E39" s="28"/>
      <c r="F39" s="28"/>
      <c r="G39" s="28"/>
      <c r="H39" s="28" t="s">
        <v>44</v>
      </c>
      <c r="I39" s="28"/>
      <c r="J39" s="28"/>
      <c r="K39" s="26" t="s">
        <v>40</v>
      </c>
      <c r="L39" s="26"/>
      <c r="M39" s="26"/>
      <c r="N39" s="26"/>
    </row>
  </sheetData>
  <mergeCells count="28">
    <mergeCell ref="D39:G39"/>
    <mergeCell ref="H38:J38"/>
    <mergeCell ref="H39:J39"/>
    <mergeCell ref="A33:N33"/>
    <mergeCell ref="A5:N5"/>
    <mergeCell ref="K38:N38"/>
    <mergeCell ref="K39:N39"/>
    <mergeCell ref="A38:C38"/>
    <mergeCell ref="A39:C39"/>
    <mergeCell ref="D38:G38"/>
    <mergeCell ref="A30:L30"/>
    <mergeCell ref="A31:L31"/>
    <mergeCell ref="A32:L32"/>
    <mergeCell ref="K14:K15"/>
    <mergeCell ref="L14:L15"/>
    <mergeCell ref="M14:M15"/>
    <mergeCell ref="N14:N15"/>
    <mergeCell ref="A28:L28"/>
    <mergeCell ref="A29:L29"/>
    <mergeCell ref="I14:J14"/>
    <mergeCell ref="A14:A15"/>
    <mergeCell ref="B14:B15"/>
    <mergeCell ref="C14:C15"/>
    <mergeCell ref="D14:D15"/>
    <mergeCell ref="E14:E15"/>
    <mergeCell ref="F14:F15"/>
    <mergeCell ref="G14:G15"/>
    <mergeCell ref="H14:H15"/>
  </mergeCells>
  <pageMargins left="0.37" right="0.42" top="0.49" bottom="0.42" header="0.3" footer="0.3"/>
  <pageSetup paperSize="9" scale="5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ducnm</dc:creator>
  <cp:lastModifiedBy>ducnm</cp:lastModifiedBy>
  <cp:lastPrinted>2026-08-25T04:29:21Z</cp:lastPrinted>
  <dcterms:created xsi:type="dcterms:W3CDTF">2015-06-05T18:17:20Z</dcterms:created>
  <dcterms:modified xsi:type="dcterms:W3CDTF">2026-08-25T04:29:32Z</dcterms:modified>
</cp:coreProperties>
</file>